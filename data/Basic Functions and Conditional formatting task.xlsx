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OTB\Assignments\data\"/>
    </mc:Choice>
  </mc:AlternateContent>
  <xr:revisionPtr revIDLastSave="0" documentId="13_ncr:1_{5B6A7EB2-1B2E-46AE-B468-350F550E9D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4" i="1" l="1"/>
  <c r="S23" i="1"/>
  <c r="J10" i="1"/>
  <c r="K10" i="1"/>
  <c r="I10" i="1"/>
  <c r="T22" i="1"/>
  <c r="U22" i="1"/>
  <c r="S22" i="1"/>
  <c r="J16" i="1"/>
  <c r="P4" i="1"/>
  <c r="S17" i="1"/>
  <c r="S18" i="1"/>
  <c r="K9" i="1"/>
  <c r="K8" i="1"/>
  <c r="K7" i="1"/>
  <c r="K6" i="1"/>
  <c r="K5" i="1"/>
  <c r="U17" i="1"/>
  <c r="J9" i="1"/>
  <c r="J8" i="1"/>
  <c r="J7" i="1"/>
  <c r="J6" i="1"/>
  <c r="J5" i="1"/>
  <c r="T17" i="1"/>
  <c r="I9" i="1"/>
  <c r="I8" i="1"/>
  <c r="I7" i="1"/>
  <c r="I6" i="1"/>
  <c r="I5" i="1"/>
  <c r="U21" i="1"/>
  <c r="U20" i="1"/>
  <c r="U19" i="1"/>
  <c r="U18" i="1"/>
  <c r="T21" i="1"/>
  <c r="T20" i="1"/>
  <c r="T19" i="1"/>
  <c r="T18" i="1"/>
  <c r="S21" i="1"/>
  <c r="S20" i="1"/>
  <c r="S19" i="1"/>
  <c r="O20" i="1"/>
  <c r="O19" i="1"/>
  <c r="O18" i="1"/>
  <c r="O17" i="1"/>
  <c r="O16" i="1"/>
  <c r="N20" i="1"/>
  <c r="N19" i="1"/>
  <c r="N18" i="1"/>
  <c r="N17" i="1"/>
  <c r="N16" i="1"/>
  <c r="P8" i="1"/>
  <c r="P7" i="1"/>
  <c r="P6" i="1"/>
  <c r="P5" i="1"/>
  <c r="J21" i="1"/>
  <c r="J20" i="1"/>
  <c r="J19" i="1"/>
  <c r="J18" i="1"/>
  <c r="I21" i="1"/>
  <c r="I20" i="1"/>
  <c r="I19" i="1"/>
  <c r="I18" i="1"/>
  <c r="J17" i="1"/>
  <c r="I17" i="1"/>
  <c r="I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<sst xmlns="http://schemas.openxmlformats.org/spreadsheetml/2006/main" count="76" uniqueCount="29">
  <si>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</si>
  <si>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</si>
  <si>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</si>
  <si>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</si>
  <si>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</si>
  <si>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</si>
  <si>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</si>
  <si>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</si>
  <si>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</si>
  <si>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</si>
  <si>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</si>
  <si>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</si>
  <si>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</si>
  <si>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</si>
  <si>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</si>
  <si>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</si>
  <si>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</si>
  <si>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</si>
  <si>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</si>
  <si>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</si>
  <si>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</si>
  <si>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</si>
  <si>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</si>
  <si>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</si>
  <si>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</si>
  <si>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Tola is the most active salesrep</t>
  </si>
  <si>
    <t>Total</t>
  </si>
  <si>
    <t>Sum 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</si>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</sst>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0" borderId="0" xfId="0" applyFont="1"/>
    <xf numFmtId="4" fontId="0" fillId="0" borderId="0" xfId="0" applyNumberFormat="1"/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9" xfId="0" applyFill="1" applyBorder="1"/>
    <xf numFmtId="164" fontId="0" fillId="0" borderId="0" xfId="0" applyNumberFormat="1"/>
    <xf numFmtId="0" fontId="3" fillId="0" borderId="19" xfId="0" applyFont="1" applyFill="1" applyBorder="1"/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G2" zoomScale="80" zoomScaleNormal="80" workbookViewId="0">
      <selection activeCell="P24" sqref="P24"/>
    </sheetView>
  </sheetViews>
  <sheetFormatPr defaultRowHeight="14.5" x14ac:dyDescent="0.35"/>
  <cols>
    <col min="2" max="2" width="9.1796875" bestFit="1" customWidth="1"/>
    <col min="5" max="5" width="16.453125" bestFit="1" customWidth="1"/>
    <col min="6" max="6" width="9.90625" bestFit="1" customWidth="1"/>
    <col min="9" max="9" width="11.7265625" bestFit="1" customWidth="1"/>
    <col min="10" max="11" width="10.6328125" bestFit="1" customWidth="1"/>
    <col min="14" max="14" width="14.54296875" bestFit="1" customWidth="1"/>
    <col min="15" max="15" width="14.453125" bestFit="1" customWidth="1"/>
    <col min="16" max="16" width="12.36328125" bestFit="1" customWidth="1"/>
    <col min="19" max="19" width="14.54296875" bestFit="1" customWidth="1"/>
    <col min="20" max="21" width="15.6328125" bestFit="1" customWidth="1"/>
  </cols>
  <sheetData>
    <row r="1" spans="1:21" ht="25" x14ac:dyDescent="0.5">
      <c r="A1" s="36" t="s">
        <v>0</v>
      </c>
      <c r="B1" s="36"/>
      <c r="C1" s="36"/>
      <c r="D1" s="36"/>
      <c r="E1" s="36"/>
      <c r="F1" s="36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3" t="s">
        <v>24</v>
      </c>
      <c r="J3" s="34"/>
      <c r="K3" s="35"/>
      <c r="N3" s="7"/>
      <c r="O3" s="8" t="s">
        <v>9</v>
      </c>
      <c r="P3" s="9" t="s">
        <v>10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0" t="s">
        <v>12</v>
      </c>
      <c r="O4" s="13" t="s">
        <v>13</v>
      </c>
      <c r="P4" s="14">
        <f>COUNTIF(D3:D26, "Abdul")</f>
        <v>6</v>
      </c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SUMIF(D3:D11, "Abdul", F3:F11)</f>
        <v>12320</v>
      </c>
      <c r="J5" s="25">
        <f>SUMIF(D12:D17, "Abdul", F12:F17)</f>
        <v>23100</v>
      </c>
      <c r="K5" s="25">
        <f>SUMIF(D18:D26, "Abdul", F18:F26)</f>
        <v>25520</v>
      </c>
      <c r="N5" s="31"/>
      <c r="O5" s="13" t="s">
        <v>7</v>
      </c>
      <c r="P5" s="14">
        <f>COUNTIF(D3:D26, "Ayo")</f>
        <v>3</v>
      </c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SUMIF(D3:D11, "Ayo", F3:F11)</f>
        <v>16720</v>
      </c>
      <c r="J6" s="25">
        <f>SUMIF(D12:D17, "Ayo", F12:F17)</f>
        <v>6160</v>
      </c>
      <c r="K6" s="25">
        <f>SUMIF(D18:D26, "Ayo", F18:F26)</f>
        <v>7920</v>
      </c>
      <c r="N6" s="31"/>
      <c r="O6" s="13" t="s">
        <v>15</v>
      </c>
      <c r="P6" s="14">
        <f>COUNTIF(D3:D26, "Ada")</f>
        <v>5</v>
      </c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SUMIF(D3:D11, "Ada", F3:F11)</f>
        <v>26840</v>
      </c>
      <c r="J7" s="25">
        <f>SUMIF(D12:D17, "Ada", F12:F17)</f>
        <v>0</v>
      </c>
      <c r="K7" s="25">
        <f>SUMIF(D18:D26, "Ada", F18:F26)</f>
        <v>15840</v>
      </c>
      <c r="N7" s="31"/>
      <c r="O7" s="13" t="s">
        <v>18</v>
      </c>
      <c r="P7" s="14">
        <f>COUNTIF(D3:D26, "Ese")</f>
        <v>3</v>
      </c>
    </row>
    <row r="8" spans="1:21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SUMIF(D3:D11, "Ese", F3:F11)</f>
        <v>19800</v>
      </c>
      <c r="J8" s="25">
        <f>SUMIF(D12:D17, "Ese", F12:F17)</f>
        <v>20900</v>
      </c>
      <c r="K8" s="25">
        <f>SUMIF(D18:D26, "Ese", F18:F26)</f>
        <v>11440</v>
      </c>
      <c r="N8" s="32"/>
      <c r="O8" s="17" t="s">
        <v>11</v>
      </c>
      <c r="P8" s="14">
        <f>COUNTIF(D3:D26, "Tola")</f>
        <v>7</v>
      </c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SUMIF(D3:D11, "Tola", F3:F11)</f>
        <v>29040</v>
      </c>
      <c r="J9" s="25">
        <f>SUMIF(D12:D17, "Tola", F12:F17)</f>
        <v>33440</v>
      </c>
      <c r="K9" s="25">
        <f>SUMIF(D18:D26, "Tola", F18:F26)</f>
        <v>20240</v>
      </c>
      <c r="N9" s="27" t="s">
        <v>25</v>
      </c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H10" s="42" t="s">
        <v>26</v>
      </c>
      <c r="I10" s="43">
        <f>SUM(I5:I9)</f>
        <v>104720</v>
      </c>
      <c r="J10" s="43">
        <f t="shared" ref="J10:K10" si="1">SUM(J5:J9)</f>
        <v>83600</v>
      </c>
      <c r="K10" s="43">
        <f t="shared" si="1"/>
        <v>80960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7" t="s">
        <v>8</v>
      </c>
      <c r="I14" s="38"/>
      <c r="J14" s="39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3" t="s">
        <v>22</v>
      </c>
      <c r="T15" s="34"/>
      <c r="U15" s="35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0" t="s">
        <v>23</v>
      </c>
      <c r="M16" s="13" t="s">
        <v>13</v>
      </c>
      <c r="N16" s="13">
        <f>SUMIF(D3:D26, "Abdul", E3:E26)</f>
        <v>277</v>
      </c>
      <c r="O16" s="13">
        <f>SUMIF(D3:D26, "Abdul", F3:F26)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1"/>
      <c r="M17" s="13" t="s">
        <v>7</v>
      </c>
      <c r="N17" s="13">
        <f>SUMIF(D3:D26, "Ayo", E3:E26)</f>
        <v>140</v>
      </c>
      <c r="O17" s="13">
        <f>SUMIF(D3:D26, "Ayo", F3:F26)</f>
        <v>30800</v>
      </c>
      <c r="R17" s="24" t="s">
        <v>13</v>
      </c>
      <c r="S17" s="25">
        <f>SUMIF(D3:D11, "Abdul", E3:E11)</f>
        <v>56</v>
      </c>
      <c r="T17" s="25">
        <f>SUMIF(D12:D17, "Abdul", E12:E17)</f>
        <v>105</v>
      </c>
      <c r="U17" s="25">
        <f>SUMIF(D18:D26, "Abdul", E18:E26)</f>
        <v>116</v>
      </c>
    </row>
    <row r="18" spans="1:2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1"/>
      <c r="M18" s="13" t="s">
        <v>15</v>
      </c>
      <c r="N18" s="13">
        <f>SUMIF(D3:D26, "Ada", E3:E26)</f>
        <v>194</v>
      </c>
      <c r="O18" s="13">
        <f>SUMIF(D3:D26, "Ada", F3:F26)</f>
        <v>42680</v>
      </c>
      <c r="R18" s="24" t="s">
        <v>7</v>
      </c>
      <c r="S18" s="25">
        <f>SUMIF(D3:D11, "Ayo", E3:E11)</f>
        <v>76</v>
      </c>
      <c r="T18" s="25">
        <f>SUMIF(D12:D17, "Ayo", E12:E17)</f>
        <v>28</v>
      </c>
      <c r="U18" s="25">
        <f>SUMIF(D18:D26, "Ayo", E18:E26)</f>
        <v>36</v>
      </c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1"/>
      <c r="M19" s="13" t="s">
        <v>18</v>
      </c>
      <c r="N19" s="13">
        <f>SUMIF(D3:D26, "Ese", E3:E26)</f>
        <v>237</v>
      </c>
      <c r="O19" s="13">
        <f>SUMIF(D3:D26, "Ese", F3:F26)</f>
        <v>52140</v>
      </c>
      <c r="R19" s="24" t="s">
        <v>15</v>
      </c>
      <c r="S19" s="25">
        <f>SUMIF(D3:D11, "Ada", E3:E11)</f>
        <v>122</v>
      </c>
      <c r="T19" s="25">
        <f>SUMIF(D12:D17, "Ada", E12:E17)</f>
        <v>0</v>
      </c>
      <c r="U19" s="25">
        <f>SUMIF(D18:D26, "Ada", E18:E26)</f>
        <v>72</v>
      </c>
    </row>
    <row r="20" spans="1:21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2"/>
      <c r="M20" s="17" t="s">
        <v>11</v>
      </c>
      <c r="N20" s="13">
        <f>SUMIF(D3:D26, "Tola", E3:E26)</f>
        <v>376</v>
      </c>
      <c r="O20" s="13">
        <f>SUMIF(D3:D26, "Tola", F3:F26)</f>
        <v>82720</v>
      </c>
      <c r="R20" s="24" t="s">
        <v>18</v>
      </c>
      <c r="S20" s="25">
        <f>SUMIF(D3:D11, "Ese", E3:E11)</f>
        <v>90</v>
      </c>
      <c r="T20" s="25">
        <f>SUMIF(D12:D17, "Ese", E12:E17)</f>
        <v>95</v>
      </c>
      <c r="U20" s="25">
        <f>SUMIF(D18:D26, "Ese", E18:E26)</f>
        <v>52</v>
      </c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SUMIF(D3:D11, "Tola", E3:E11)</f>
        <v>132</v>
      </c>
      <c r="T21" s="25">
        <f>SUMIF(D12:D17, "Tola", E12:E17)</f>
        <v>152</v>
      </c>
      <c r="U21" s="25">
        <f>SUMIF(D18:D26, "Tola", E18:E26)</f>
        <v>92</v>
      </c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R22" s="42" t="s">
        <v>26</v>
      </c>
      <c r="S22" s="43">
        <f>SUM(S17:S21)</f>
        <v>476</v>
      </c>
      <c r="T22" s="43">
        <f t="shared" ref="T22:U22" si="2">SUM(T17:T21)</f>
        <v>380</v>
      </c>
      <c r="U22" s="43">
        <f t="shared" si="2"/>
        <v>368</v>
      </c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R23" s="40" t="s">
        <v>27</v>
      </c>
      <c r="S23" s="41">
        <f>SUM(S22:U22)</f>
        <v>1224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H24" s="29"/>
      <c r="I24" s="29"/>
      <c r="J24" s="29"/>
      <c r="K24" s="29"/>
      <c r="L24" s="29"/>
      <c r="M24" s="29"/>
      <c r="N24" s="28"/>
      <c r="R24" s="40" t="s">
        <v>28</v>
      </c>
      <c r="S24" s="41">
        <f>AVERAGE(S22:U22)</f>
        <v>408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H25" s="29"/>
      <c r="I25" s="29"/>
      <c r="J25" s="29"/>
      <c r="K25" s="29"/>
      <c r="L25" s="29"/>
      <c r="M25" s="29"/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H26" s="29"/>
      <c r="I26" s="29"/>
      <c r="J26" s="29"/>
      <c r="K26" s="29"/>
      <c r="L26" s="29"/>
      <c r="M26" s="29"/>
    </row>
    <row r="27" spans="1:21" x14ac:dyDescent="0.35">
      <c r="H27" s="29"/>
      <c r="I27" s="29"/>
      <c r="J27" s="29"/>
      <c r="K27" s="29"/>
      <c r="L27" s="29"/>
      <c r="M27" s="29"/>
    </row>
    <row r="28" spans="1:21" x14ac:dyDescent="0.35">
      <c r="H28" s="29"/>
      <c r="I28" s="29"/>
      <c r="J28" s="29"/>
      <c r="K28" s="29"/>
      <c r="L28" s="29"/>
      <c r="M28" s="29"/>
    </row>
    <row r="29" spans="1:21" x14ac:dyDescent="0.35">
      <c r="H29" s="29"/>
      <c r="I29" s="29"/>
      <c r="J29" s="29"/>
      <c r="K29" s="29"/>
      <c r="L29" s="29"/>
      <c r="M29" s="29"/>
    </row>
    <row r="30" spans="1:21" x14ac:dyDescent="0.35">
      <c r="H30" s="29"/>
      <c r="I30" s="29"/>
      <c r="J30" s="29"/>
      <c r="K30" s="29"/>
      <c r="L30" s="29"/>
      <c r="M30" s="29"/>
    </row>
    <row r="31" spans="1:21" x14ac:dyDescent="0.35">
      <c r="H31" s="29"/>
      <c r="I31" s="29"/>
      <c r="J31" s="29"/>
      <c r="K31" s="29"/>
      <c r="L31" s="29"/>
      <c r="M31" s="29"/>
    </row>
    <row r="32" spans="1:21" x14ac:dyDescent="0.35">
      <c r="H32" s="29"/>
      <c r="I32" s="29"/>
      <c r="J32" s="29"/>
      <c r="K32" s="29"/>
      <c r="L32" s="29"/>
      <c r="M32" s="29"/>
    </row>
    <row r="33" spans="8:13" x14ac:dyDescent="0.35">
      <c r="H33" s="29"/>
      <c r="I33" s="29"/>
      <c r="J33" s="29"/>
      <c r="K33" s="29"/>
      <c r="L33" s="29"/>
      <c r="M33" s="29"/>
    </row>
  </sheetData>
  <mergeCells count="16">
    <mergeCell ref="S15:U15"/>
    <mergeCell ref="L16:L20"/>
    <mergeCell ref="I3:K3"/>
    <mergeCell ref="A1:F1"/>
    <mergeCell ref="H14:J14"/>
    <mergeCell ref="N4:N8"/>
    <mergeCell ref="H29:M29"/>
    <mergeCell ref="H30:M30"/>
    <mergeCell ref="H31:M31"/>
    <mergeCell ref="H32:M32"/>
    <mergeCell ref="H33:M33"/>
    <mergeCell ref="H24:M24"/>
    <mergeCell ref="H25:M25"/>
    <mergeCell ref="H26:M26"/>
    <mergeCell ref="H27:M27"/>
    <mergeCell ref="H28:M28"/>
  </mergeCells>
  <conditionalFormatting sqref="F3:F26">
    <cfRule type="cellIs" dxfId="1" priority="1" operator="lessThan">
      <formula>6000</formula>
    </cfRule>
    <cfRule type="cellIs" dxfId="0" priority="2" operator="greaterThan">
      <formula>15000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Admin</cp:lastModifiedBy>
  <dcterms:created xsi:type="dcterms:W3CDTF">2024-05-08T21:08:42Z</dcterms:created>
  <dcterms:modified xsi:type="dcterms:W3CDTF">2026-05-02T22:10:22Z</dcterms:modified>
</cp:coreProperties>
</file>